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10" i="1" l="1"/>
  <c r="H11" i="1"/>
  <c r="H12" i="1"/>
  <c r="H13" i="1"/>
  <c r="H14" i="1"/>
  <c r="H10" i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<sst xmlns="http://schemas.openxmlformats.org/spreadsheetml/2006/main" count="18" uniqueCount="18">
  <si>
    <t>Sr no.</t>
  </si>
  <si>
    <t>name of student</t>
  </si>
  <si>
    <t>sub 1</t>
  </si>
  <si>
    <t xml:space="preserve">sub 2 </t>
  </si>
  <si>
    <t>sub 3</t>
  </si>
  <si>
    <t>total</t>
  </si>
  <si>
    <t>A</t>
  </si>
  <si>
    <t>B</t>
  </si>
  <si>
    <t>C</t>
  </si>
  <si>
    <t>D</t>
  </si>
  <si>
    <t>E</t>
  </si>
  <si>
    <t>max</t>
  </si>
  <si>
    <t>min</t>
  </si>
  <si>
    <t>average</t>
  </si>
  <si>
    <t>percntage</t>
  </si>
  <si>
    <t>Result</t>
  </si>
  <si>
    <t>age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</si>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</sst>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2" fontId="0" fillId="0" borderId="0" xfId="0" applyNumberFormat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zoomScale="160" zoomScaleNormal="160" workbookViewId="0">
      <selection activeCell="D7" sqref="D7"/>
    </sheetView>
  </sheetViews>
  <sheetFormatPr defaultRowHeight="14.5" x14ac:dyDescent="0.35"/>
  <cols>
    <col min="1" max="1" width="5.6328125" bestFit="1" customWidth="1"/>
    <col min="2" max="2" width="14.81640625" bestFit="1" customWidth="1"/>
    <col min="3" max="3" width="5.26953125" bestFit="1" customWidth="1"/>
    <col min="4" max="4" width="5.7265625" bestFit="1" customWidth="1"/>
    <col min="5" max="5" width="5.26953125" bestFit="1" customWidth="1"/>
    <col min="6" max="6" width="4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</row>
    <row r="2" spans="1:11" x14ac:dyDescent="0.35">
      <c r="A2" s="2">
        <v>1</v>
      </c>
      <c r="B2" s="2" t="s">
        <v>6</v>
      </c>
      <c r="C2" s="2">
        <v>70</v>
      </c>
      <c r="D2" s="2">
        <v>35</v>
      </c>
      <c r="E2" s="2">
        <v>26</v>
      </c>
      <c r="F2" s="2">
        <f t="shared" ref="F2:F6" si="0">SUM(C2:E2)</f>
        <v>131</v>
      </c>
      <c r="G2">
        <f>MAX(C2:E2)</f>
        <v>70</v>
      </c>
      <c r="H2">
        <f>MIN(C2:E2)</f>
        <v>26</v>
      </c>
      <c r="I2" s="4">
        <f>AVERAGE(C2:E2)</f>
        <v>43.666666666666664</v>
      </c>
      <c r="J2" s="4">
        <f>F2/300*100</f>
        <v>43.666666666666664</v>
      </c>
      <c r="K2" t="str">
        <f>IF(J2&gt;=35,"pass","fail")</f>
        <v>pass</v>
      </c>
    </row>
    <row r="3" spans="1:11" x14ac:dyDescent="0.35">
      <c r="A3" s="2">
        <v>2</v>
      </c>
      <c r="B3" s="2" t="s">
        <v>7</v>
      </c>
      <c r="C3" s="2">
        <v>51</v>
      </c>
      <c r="D3" s="2">
        <v>32</v>
      </c>
      <c r="E3" s="2">
        <v>70</v>
      </c>
      <c r="F3" s="2">
        <f t="shared" si="0"/>
        <v>153</v>
      </c>
      <c r="G3">
        <f t="shared" ref="G3:G6" si="1">MAX(C3:E3)</f>
        <v>70</v>
      </c>
      <c r="H3">
        <f t="shared" ref="H3:H6" si="2">MIN(C3:E3)</f>
        <v>32</v>
      </c>
      <c r="I3" s="4">
        <f t="shared" ref="I3:I6" si="3">AVERAGE(C3:E3)</f>
        <v>51</v>
      </c>
      <c r="J3" s="4">
        <f t="shared" ref="J3:J6" si="4">F3/300*100</f>
        <v>51</v>
      </c>
      <c r="K3" t="str">
        <f t="shared" ref="K3:K6" si="5">IF(J3&gt;=35,"pass","fail")</f>
        <v>pass</v>
      </c>
    </row>
    <row r="4" spans="1:11" x14ac:dyDescent="0.35">
      <c r="A4" s="2">
        <v>3</v>
      </c>
      <c r="B4" s="2" t="s">
        <v>8</v>
      </c>
      <c r="C4" s="2">
        <v>92</v>
      </c>
      <c r="D4" s="2">
        <v>45</v>
      </c>
      <c r="E4" s="2">
        <v>51</v>
      </c>
      <c r="F4" s="2">
        <f t="shared" si="0"/>
        <v>188</v>
      </c>
      <c r="G4">
        <f t="shared" si="1"/>
        <v>92</v>
      </c>
      <c r="H4">
        <f t="shared" si="2"/>
        <v>45</v>
      </c>
      <c r="I4" s="4">
        <f t="shared" si="3"/>
        <v>62.666666666666664</v>
      </c>
      <c r="J4" s="4">
        <f t="shared" si="4"/>
        <v>62.666666666666671</v>
      </c>
      <c r="K4" t="str">
        <f t="shared" si="5"/>
        <v>pass</v>
      </c>
    </row>
    <row r="5" spans="1:11" x14ac:dyDescent="0.35">
      <c r="A5" s="2">
        <v>4</v>
      </c>
      <c r="B5" s="2" t="s">
        <v>9</v>
      </c>
      <c r="C5" s="2">
        <v>60</v>
      </c>
      <c r="D5" s="2">
        <v>12</v>
      </c>
      <c r="E5" s="2">
        <v>92</v>
      </c>
      <c r="F5" s="2">
        <f t="shared" si="0"/>
        <v>164</v>
      </c>
      <c r="G5">
        <f t="shared" si="1"/>
        <v>92</v>
      </c>
      <c r="H5">
        <f t="shared" si="2"/>
        <v>12</v>
      </c>
      <c r="I5" s="4">
        <f t="shared" si="3"/>
        <v>54.666666666666664</v>
      </c>
      <c r="J5" s="4">
        <f t="shared" si="4"/>
        <v>54.666666666666664</v>
      </c>
      <c r="K5" t="str">
        <f t="shared" si="5"/>
        <v>pass</v>
      </c>
    </row>
    <row r="6" spans="1:11" x14ac:dyDescent="0.35">
      <c r="A6" s="2">
        <v>5</v>
      </c>
      <c r="B6" s="2" t="s">
        <v>10</v>
      </c>
      <c r="C6" s="2">
        <v>31</v>
      </c>
      <c r="D6" s="2">
        <v>23</v>
      </c>
      <c r="E6" s="2">
        <v>60</v>
      </c>
      <c r="F6" s="2">
        <f>SUM(C6:E6)</f>
        <v>114</v>
      </c>
      <c r="G6">
        <f t="shared" si="1"/>
        <v>60</v>
      </c>
      <c r="H6">
        <f t="shared" si="2"/>
        <v>23</v>
      </c>
      <c r="I6" s="4">
        <f t="shared" si="3"/>
        <v>38</v>
      </c>
      <c r="J6" s="4">
        <f t="shared" si="4"/>
        <v>38</v>
      </c>
      <c r="K6" t="str">
        <f t="shared" si="5"/>
        <v>pass</v>
      </c>
    </row>
    <row r="7" spans="1:11" x14ac:dyDescent="0.35">
      <c r="C7" s="5">
        <v>87</v>
      </c>
      <c r="D7" t="s">
        <v>17</v>
      </c>
    </row>
    <row r="9" spans="1:11" x14ac:dyDescent="0.35">
      <c r="G9" t="s">
        <v>16</v>
      </c>
    </row>
    <row r="10" spans="1:11" x14ac:dyDescent="0.35">
      <c r="C10">
        <f>COUNT(C2:C7)</f>
        <v>6</v>
      </c>
      <c r="G10">
        <v>45</v>
      </c>
      <c r="H10" t="str">
        <f>IF(G10&gt;=18,"vote","not vote")</f>
        <v>vote</v>
      </c>
    </row>
    <row r="11" spans="1:11" x14ac:dyDescent="0.35">
      <c r="G11">
        <v>65</v>
      </c>
      <c r="H11" t="str">
        <f t="shared" ref="H11:H14" si="6">IF(G11&gt;=18,"vote","not vote")</f>
        <v>vote</v>
      </c>
    </row>
    <row r="12" spans="1:11" x14ac:dyDescent="0.35">
      <c r="G12">
        <v>25</v>
      </c>
      <c r="H12" t="str">
        <f t="shared" si="6"/>
        <v>vote</v>
      </c>
    </row>
    <row r="13" spans="1:11" x14ac:dyDescent="0.35">
      <c r="G13">
        <v>17</v>
      </c>
      <c r="H13" t="str">
        <f t="shared" si="6"/>
        <v>not vote</v>
      </c>
    </row>
    <row r="14" spans="1:11" x14ac:dyDescent="0.35">
      <c r="G14">
        <v>19</v>
      </c>
      <c r="H14" t="str">
        <f t="shared" si="6"/>
        <v>vote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2026-07-24T11:50:19Z</dcterms:modified>
</cp:coreProperties>
</file>